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模拟输入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<sst xmlns="http://schemas.openxmlformats.org/spreadsheetml/2006/main" count="95" uniqueCount="67">
  <si>
    <t>单次结算模拟</t>
  </si>
  <si>
    <t>合同编号</t>
  </si>
  <si>
    <t>合同名称</t>
  </si>
  <si>
    <t>服务对象</t>
  </si>
  <si>
    <t>服务区域</t>
  </si>
  <si>
    <t>合同金额</t>
  </si>
  <si>
    <t>订单编号</t>
  </si>
  <si>
    <t>结算项目</t>
  </si>
  <si>
    <t>结算比例</t>
  </si>
  <si>
    <t>结算金额</t>
  </si>
  <si>
    <t>结算日期</t>
  </si>
  <si>
    <t>一级分账</t>
  </si>
  <si>
    <t>二级分账</t>
  </si>
  <si>
    <t>结算单位</t>
  </si>
  <si>
    <t>比例</t>
  </si>
  <si>
    <t>金额</t>
  </si>
  <si>
    <t>补税差</t>
  </si>
  <si>
    <t>分包单位</t>
  </si>
  <si>
    <t>施工队</t>
  </si>
  <si>
    <t>农民工工资</t>
  </si>
  <si>
    <t>补税点</t>
  </si>
  <si>
    <t>单位</t>
  </si>
  <si>
    <t>金额名称</t>
  </si>
  <si>
    <t>日期名称</t>
  </si>
  <si>
    <t>公司</t>
  </si>
  <si>
    <t>分包公司</t>
  </si>
  <si>
    <t>公司名称</t>
  </si>
  <si>
    <t>结算对象</t>
  </si>
  <si>
    <t>结算</t>
  </si>
  <si>
    <t>中邮建</t>
  </si>
  <si>
    <t>浩锋</t>
  </si>
  <si>
    <t>广西贵鸿</t>
  </si>
  <si>
    <t>CMGX-202200373</t>
  </si>
  <si>
    <t>中国移动广西公司2022年站点接入光缆线路一阶段玉林工程</t>
  </si>
  <si>
    <t>广西移动</t>
  </si>
  <si>
    <t>广西玉林</t>
  </si>
  <si>
    <t>预付款</t>
  </si>
  <si>
    <t>总包商</t>
  </si>
  <si>
    <t>到账日期</t>
  </si>
  <si>
    <t>唐贝</t>
  </si>
  <si>
    <t>其他</t>
  </si>
  <si>
    <t>湖南正真</t>
  </si>
  <si>
    <t>CMCCTD-GX-202200082</t>
  </si>
  <si>
    <t>中国移动广西分公司2022年通信管道一阶段玉林工程</t>
  </si>
  <si>
    <t>陕西移动</t>
  </si>
  <si>
    <t>广西钦州</t>
  </si>
  <si>
    <t>进度款</t>
  </si>
  <si>
    <t>毅和</t>
  </si>
  <si>
    <t>承包商</t>
  </si>
  <si>
    <t>发票日期</t>
  </si>
  <si>
    <t>钦州中正</t>
  </si>
  <si>
    <t>安全生产费</t>
  </si>
  <si>
    <t>分包商</t>
  </si>
  <si>
    <t>应收金额</t>
  </si>
  <si>
    <t>支付日期</t>
  </si>
  <si>
    <t>沃驰</t>
  </si>
  <si>
    <t>重庆兴瑞</t>
  </si>
  <si>
    <t>审计款</t>
  </si>
  <si>
    <t>岩亨</t>
  </si>
  <si>
    <t>应付金额</t>
  </si>
  <si>
    <t>完工款</t>
  </si>
  <si>
    <t>中国移动广西公司</t>
  </si>
  <si>
    <t>施工对象</t>
  </si>
  <si>
    <t>已收金额</t>
  </si>
  <si>
    <t>工程款</t>
  </si>
  <si>
    <t>农民工</t>
  </si>
  <si>
    <t>已付金额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</si>
</sst>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zoomScale="85" zoomScaleNormal="85" workbookViewId="0">
      <selection activeCell="A4" sqref="A4:A11"/>
    </sheetView>
  </sheetViews>
  <sheetFormatPr defaultColWidth="9" defaultRowHeight="13.5"/>
  <cols>
    <col min="10" max="10" width="9.375"/>
    <col min="21" max="21" width="12.625" customWidth="1"/>
  </cols>
  <sheetData>
    <row r="1" ht="56" customHeight="1" spans="1:2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20" customHeight="1" spans="1:2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10"/>
      <c r="M2" s="10"/>
      <c r="N2" s="10"/>
      <c r="O2" s="11" t="s">
        <v>12</v>
      </c>
      <c r="P2" s="12"/>
      <c r="Q2" s="12"/>
      <c r="R2" s="12"/>
      <c r="S2" s="12"/>
      <c r="T2" s="12"/>
      <c r="U2" s="12"/>
      <c r="V2" s="12"/>
      <c r="W2" s="13"/>
    </row>
    <row r="3" ht="27" customHeight="1" spans="1:23">
      <c r="A3" s="14"/>
      <c r="B3" s="14"/>
      <c r="C3" s="14"/>
      <c r="D3" s="14"/>
      <c r="E3" s="14"/>
      <c r="F3" s="14"/>
      <c r="G3" s="14"/>
      <c r="H3" s="14"/>
      <c r="I3" s="14"/>
      <c r="J3" s="14"/>
      <c r="K3" s="9" t="s">
        <v>13</v>
      </c>
      <c r="L3" s="9" t="s">
        <v>14</v>
      </c>
      <c r="M3" s="9" t="s">
        <v>15</v>
      </c>
      <c r="N3" s="9" t="s">
        <v>16</v>
      </c>
      <c r="O3" s="15" t="s">
        <v>17</v>
      </c>
      <c r="P3" s="15" t="s">
        <v>14</v>
      </c>
      <c r="Q3" s="15" t="s">
        <v>15</v>
      </c>
      <c r="R3" s="15" t="s">
        <v>18</v>
      </c>
      <c r="S3" s="15" t="s">
        <v>14</v>
      </c>
      <c r="T3" s="15" t="s">
        <v>15</v>
      </c>
      <c r="U3" s="15" t="s">
        <v>19</v>
      </c>
      <c r="V3" s="15" t="s">
        <v>20</v>
      </c>
      <c r="W3" s="15" t="s">
        <v>16</v>
      </c>
    </row>
    <row r="4" ht="16" customHeight="1" spans="1:23">
      <c r="A4" s="16"/>
      <c r="B4" s="16" t="e" cm="1">
        <f t="array" ref="B4">VLOOKUP(A4,Sheet1!M:O,{2},FALSE)</f>
        <v>#N/A</v>
      </c>
      <c r="C4" s="16" t="e">
        <f>VLOOKUP(A4,Sheet1!M:Q,4,FALSE)</f>
        <v>#N/A</v>
      </c>
      <c r="D4" s="16" t="e">
        <f>VLOOKUP(A4,Sheet1!M:Q,5,FALSE)</f>
        <v>#N/A</v>
      </c>
      <c r="E4" s="16" t="e">
        <f>VLOOKUP(A4,Sheet1!M:O,3,FALSE)</f>
        <v>#N/A</v>
      </c>
      <c r="F4" s="16"/>
      <c r="G4" s="16"/>
      <c r="H4" s="16"/>
      <c r="I4" s="16" t="e">
        <f>E4*H4</f>
        <v>#N/A</v>
      </c>
      <c r="J4" s="17"/>
      <c r="K4" s="18"/>
      <c r="L4" s="18"/>
      <c r="M4" s="18" t="str">
        <f>_xlfn.IFNA($I$4*L4,"")</f>
        <v/>
      </c>
      <c r="N4" s="18"/>
      <c r="O4" s="19"/>
      <c r="P4" s="19"/>
      <c r="Q4" s="19" t="str">
        <f>_xlfn.IFNA($I$4*P4,"")</f>
        <v/>
      </c>
      <c r="R4" s="19"/>
      <c r="S4" s="19" t="str">
        <f>_xlfn.IFNA(VLOOKUP(R4,Sheet1!K:L,2,FALSE),"")</f>
        <v/>
      </c>
      <c r="T4" s="19" t="str">
        <f>IFERROR($I$4*S4-U4-V4-W4,"")</f>
        <v/>
      </c>
      <c r="U4" s="19"/>
      <c r="V4" s="19">
        <f>U4*0.9</f>
        <v>0</v>
      </c>
      <c r="W4" s="19"/>
    </row>
    <row r="5" ht="16" customHeight="1" spans="1:23">
      <c r="A5" s="20"/>
      <c r="B5" s="20"/>
      <c r="C5" s="20"/>
      <c r="D5" s="20"/>
      <c r="E5" s="20"/>
      <c r="F5" s="20"/>
      <c r="G5" s="20"/>
      <c r="H5" s="20"/>
      <c r="I5" s="20"/>
      <c r="J5" s="20"/>
      <c r="K5" s="18"/>
      <c r="L5" s="18"/>
      <c r="M5" s="18" t="str">
        <f t="shared" ref="M5:M11" si="0">_xlfn.IFNA($I$4*L5,"")</f>
        <v/>
      </c>
      <c r="N5" s="18"/>
      <c r="O5" s="19"/>
      <c r="P5" s="19"/>
      <c r="Q5" s="19" t="str">
        <f t="shared" ref="Q5:Q11" si="1">_xlfn.IFNA($I$4*P5,"")</f>
        <v/>
      </c>
      <c r="R5" s="19"/>
      <c r="S5" s="19" t="str">
        <f>_xlfn.IFNA(VLOOKUP(R5,Sheet1!K:L,2,FALSE),"")</f>
        <v/>
      </c>
      <c r="T5" s="19" t="str">
        <f t="shared" ref="T5:T11" si="2">IFERROR($I$4*S5-U5-V5-W5,"")</f>
        <v/>
      </c>
      <c r="U5" s="19"/>
      <c r="V5" s="19">
        <f>U5*0.9</f>
        <v>0</v>
      </c>
      <c r="W5" s="19"/>
    </row>
    <row r="6" ht="16" customHeight="1" spans="1:23">
      <c r="A6" s="20"/>
      <c r="B6" s="20"/>
      <c r="C6" s="20"/>
      <c r="D6" s="20"/>
      <c r="E6" s="20"/>
      <c r="F6" s="20"/>
      <c r="G6" s="20"/>
      <c r="H6" s="20"/>
      <c r="I6" s="20"/>
      <c r="J6" s="20"/>
      <c r="K6" s="18"/>
      <c r="L6" s="18"/>
      <c r="M6" s="18" t="str">
        <f t="shared" si="0"/>
        <v/>
      </c>
      <c r="N6" s="18"/>
      <c r="O6" s="19"/>
      <c r="P6" s="19"/>
      <c r="Q6" s="19" t="str">
        <f t="shared" si="1"/>
        <v/>
      </c>
      <c r="R6" s="19"/>
      <c r="S6" s="19" t="str">
        <f>_xlfn.IFNA(VLOOKUP(R6,Sheet1!K:L,2,FALSE),"")</f>
        <v/>
      </c>
      <c r="T6" s="19" t="str">
        <f t="shared" si="2"/>
        <v/>
      </c>
      <c r="U6" s="19"/>
      <c r="V6" s="19">
        <f t="shared" ref="V6:V11" si="3">U6*0.9</f>
        <v>0</v>
      </c>
      <c r="W6" s="19"/>
    </row>
    <row r="7" ht="16" customHeight="1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18"/>
      <c r="L7" s="18"/>
      <c r="M7" s="18" t="str">
        <f t="shared" si="0"/>
        <v/>
      </c>
      <c r="N7" s="18"/>
      <c r="O7" s="19"/>
      <c r="P7" s="19"/>
      <c r="Q7" s="19" t="str">
        <f t="shared" si="1"/>
        <v/>
      </c>
      <c r="R7" s="19"/>
      <c r="S7" s="19" t="str">
        <f>_xlfn.IFNA(VLOOKUP(R7,Sheet1!K:L,2,FALSE),"")</f>
        <v/>
      </c>
      <c r="T7" s="19" t="str">
        <f t="shared" si="2"/>
        <v/>
      </c>
      <c r="U7" s="19"/>
      <c r="V7" s="19">
        <f t="shared" si="3"/>
        <v>0</v>
      </c>
      <c r="W7" s="19"/>
    </row>
    <row r="8" ht="16" customHeight="1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18"/>
      <c r="L8" s="18"/>
      <c r="M8" s="18" t="str">
        <f t="shared" si="0"/>
        <v/>
      </c>
      <c r="N8" s="18"/>
      <c r="O8" s="19"/>
      <c r="P8" s="19"/>
      <c r="Q8" s="19" t="str">
        <f t="shared" si="1"/>
        <v/>
      </c>
      <c r="R8" s="19"/>
      <c r="S8" s="19" t="str">
        <f>_xlfn.IFNA(VLOOKUP(R8,Sheet1!K:L,2,FALSE),"")</f>
        <v/>
      </c>
      <c r="T8" s="19" t="str">
        <f t="shared" si="2"/>
        <v/>
      </c>
      <c r="U8" s="19"/>
      <c r="V8" s="19">
        <f t="shared" si="3"/>
        <v>0</v>
      </c>
      <c r="W8" s="19"/>
    </row>
    <row r="9" ht="16" customHeight="1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18"/>
      <c r="L9" s="18"/>
      <c r="M9" s="18" t="str">
        <f t="shared" si="0"/>
        <v/>
      </c>
      <c r="N9" s="18"/>
      <c r="O9" s="19"/>
      <c r="P9" s="19"/>
      <c r="Q9" s="19" t="str">
        <f t="shared" si="1"/>
        <v/>
      </c>
      <c r="R9" s="19"/>
      <c r="S9" s="19" t="str">
        <f>_xlfn.IFNA(VLOOKUP(R9,Sheet1!K:L,2,FALSE),"")</f>
        <v/>
      </c>
      <c r="T9" s="19" t="str">
        <f t="shared" si="2"/>
        <v/>
      </c>
      <c r="U9" s="19"/>
      <c r="V9" s="19">
        <f t="shared" si="3"/>
        <v>0</v>
      </c>
      <c r="W9" s="19"/>
    </row>
    <row r="10" ht="16" customHeight="1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18"/>
      <c r="L10" s="18"/>
      <c r="M10" s="18" t="str">
        <f t="shared" si="0"/>
        <v/>
      </c>
      <c r="N10" s="18"/>
      <c r="O10" s="19"/>
      <c r="P10" s="19"/>
      <c r="Q10" s="19" t="str">
        <f t="shared" si="1"/>
        <v/>
      </c>
      <c r="R10" s="19"/>
      <c r="S10" s="19" t="str">
        <f>_xlfn.IFNA(VLOOKUP(R10,Sheet1!K:L,2,FALSE),"")</f>
        <v/>
      </c>
      <c r="T10" s="19" t="str">
        <f t="shared" si="2"/>
        <v/>
      </c>
      <c r="U10" s="19"/>
      <c r="V10" s="19">
        <f t="shared" si="3"/>
        <v>0</v>
      </c>
      <c r="W10" s="19"/>
    </row>
    <row r="11" ht="16" customHeight="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18"/>
      <c r="L11" s="18"/>
      <c r="M11" s="18" t="str">
        <f t="shared" si="0"/>
        <v/>
      </c>
      <c r="N11" s="18"/>
      <c r="O11" s="19"/>
      <c r="P11" s="19"/>
      <c r="Q11" s="19" t="str">
        <f t="shared" si="1"/>
        <v/>
      </c>
      <c r="R11" s="19"/>
      <c r="S11" s="19" t="str">
        <f>_xlfn.IFNA(VLOOKUP(R11,Sheet1!K:L,2,FALSE),"")</f>
        <v/>
      </c>
      <c r="T11" s="19" t="str">
        <f t="shared" si="2"/>
        <v/>
      </c>
      <c r="U11" s="19"/>
      <c r="V11" s="19">
        <f t="shared" si="3"/>
        <v>0</v>
      </c>
      <c r="W11" s="19"/>
    </row>
  </sheetData>
  <mergeCells count="23">
    <mergeCell ref="A1:W1"/>
    <mergeCell ref="K2:N2"/>
    <mergeCell ref="O2:W2"/>
    <mergeCell ref="A2:A3"/>
    <mergeCell ref="A4:A11"/>
    <mergeCell ref="B2:B3"/>
    <mergeCell ref="B4:B11"/>
    <mergeCell ref="C2:C3"/>
    <mergeCell ref="C4:C11"/>
    <mergeCell ref="D2:D3"/>
    <mergeCell ref="D4:D11"/>
    <mergeCell ref="E2:E3"/>
    <mergeCell ref="E4:E11"/>
    <mergeCell ref="F2:F3"/>
    <mergeCell ref="F4:F11"/>
    <mergeCell ref="G2:G3"/>
    <mergeCell ref="G4:G11"/>
    <mergeCell ref="H2:H3"/>
    <mergeCell ref="H4:H11"/>
    <mergeCell ref="I2:I3"/>
    <mergeCell ref="I4:I11"/>
    <mergeCell ref="J2:J3"/>
    <mergeCell ref="J4:J11"/>
  </mergeCells>
  <dataValidations count="5">
    <dataValidation type="list" allowBlank="1" showInputMessage="1" showErrorMessage="1" sqref="K4 K5:K11">
      <formula1>Sheet1!$I$2:$I$5</formula1>
    </dataValidation>
    <dataValidation type="list" allowBlank="1" showInputMessage="1" showErrorMessage="1" sqref="A4:A11">
      <formula1>Sheet1!$M$2:$M$3</formula1>
    </dataValidation>
    <dataValidation type="list" allowBlank="1" showInputMessage="1" showErrorMessage="1" sqref="G4:G11">
      <formula1>Sheet1!$R$2:$R$7</formula1>
    </dataValidation>
    <dataValidation type="list" allowBlank="1" showInputMessage="1" showErrorMessage="1" sqref="O4:O11">
      <formula1>Sheet1!$J$2:$J$3</formula1>
    </dataValidation>
    <dataValidation type="list" allowBlank="1" showInputMessage="1" showErrorMessage="1" sqref="R4:R11">
      <formula1>Sheet1!$K$2:$K$5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workbookViewId="0">
      <selection activeCell="K1" sqref="K1"/>
    </sheetView>
  </sheetViews>
  <sheetFormatPr defaultColWidth="9" defaultRowHeight="13.5"/>
  <cols>
    <col min="1" max="1" width="19.625" customWidth="1"/>
    <col min="3" max="3" width="13" customWidth="1"/>
    <col min="4" max="4" width="11.125" customWidth="1"/>
  </cols>
  <sheetData>
    <row r="1" ht="14.25" spans="1:18">
      <c r="A1" s="1" t="s">
        <v>21</v>
      </c>
      <c r="B1" s="1"/>
      <c r="C1" s="1" t="s">
        <v>7</v>
      </c>
      <c r="D1" s="1" t="s">
        <v>22</v>
      </c>
      <c r="E1" s="2" t="s">
        <v>23</v>
      </c>
      <c r="I1" t="s">
        <v>24</v>
      </c>
      <c r="J1" t="s">
        <v>25</v>
      </c>
      <c r="K1" t="s">
        <v>18</v>
      </c>
      <c r="L1" t="s">
        <v>8</v>
      </c>
      <c r="M1" t="s">
        <v>1</v>
      </c>
      <c r="N1" t="s">
        <v>2</v>
      </c>
      <c r="O1" t="s">
        <v>5</v>
      </c>
      <c r="P1" t="s">
        <v>3</v>
      </c>
      <c r="Q1" t="s">
        <v>4</v>
      </c>
      <c r="R1" t="s">
        <v>7</v>
      </c>
    </row>
    <row r="2" ht="14.25" spans="1:18">
      <c r="A2" s="3" t="s">
        <v>26</v>
      </c>
      <c r="B2" s="3" t="s">
        <v>27</v>
      </c>
      <c r="C2" s="1"/>
      <c r="D2" s="1"/>
      <c r="E2" s="2"/>
      <c r="F2" t="s">
        <v>28</v>
      </c>
      <c r="I2" t="s">
        <v>29</v>
      </c>
      <c r="J2" t="s">
        <v>30</v>
      </c>
      <c r="K2" t="s">
        <v>31</v>
      </c>
      <c r="L2">
        <v>0.8</v>
      </c>
      <c r="M2" t="s">
        <v>32</v>
      </c>
      <c r="N2" t="s">
        <v>33</v>
      </c>
      <c r="O2">
        <v>100000</v>
      </c>
      <c r="P2" t="s">
        <v>34</v>
      </c>
      <c r="Q2" t="s">
        <v>35</v>
      </c>
      <c r="R2" t="s">
        <v>36</v>
      </c>
    </row>
    <row r="3" spans="1:18">
      <c r="A3" s="4" t="s">
        <v>29</v>
      </c>
      <c r="B3" s="4" t="s">
        <v>37</v>
      </c>
      <c r="C3" s="4" t="s">
        <v>36</v>
      </c>
      <c r="D3" s="4" t="s">
        <v>5</v>
      </c>
      <c r="E3" s="5" t="s">
        <v>38</v>
      </c>
      <c r="F3" t="s">
        <v>8</v>
      </c>
      <c r="I3" t="s">
        <v>39</v>
      </c>
      <c r="J3" t="s">
        <v>40</v>
      </c>
      <c r="K3" t="s">
        <v>41</v>
      </c>
      <c r="L3">
        <v>0.7</v>
      </c>
      <c r="M3" t="s">
        <v>42</v>
      </c>
      <c r="N3" t="s">
        <v>43</v>
      </c>
      <c r="O3">
        <v>200000</v>
      </c>
      <c r="P3" t="s">
        <v>44</v>
      </c>
      <c r="Q3" t="s">
        <v>45</v>
      </c>
      <c r="R3" t="s">
        <v>46</v>
      </c>
    </row>
    <row r="4" spans="1:18">
      <c r="A4" s="4" t="s">
        <v>47</v>
      </c>
      <c r="B4" s="4" t="s">
        <v>48</v>
      </c>
      <c r="C4" s="4" t="s">
        <v>46</v>
      </c>
      <c r="D4" s="4" t="s">
        <v>9</v>
      </c>
      <c r="E4" s="5" t="s">
        <v>49</v>
      </c>
      <c r="F4" t="s">
        <v>9</v>
      </c>
      <c r="I4" t="s">
        <v>47</v>
      </c>
      <c r="K4" t="s">
        <v>50</v>
      </c>
      <c r="L4">
        <v>0.6</v>
      </c>
      <c r="R4" t="s">
        <v>51</v>
      </c>
    </row>
    <row r="5" spans="1:18">
      <c r="A5" s="4" t="s">
        <v>30</v>
      </c>
      <c r="B5" s="4" t="s">
        <v>52</v>
      </c>
      <c r="C5" s="4" t="s">
        <v>51</v>
      </c>
      <c r="D5" s="4" t="s">
        <v>53</v>
      </c>
      <c r="E5" s="5" t="s">
        <v>54</v>
      </c>
      <c r="I5" t="s">
        <v>55</v>
      </c>
      <c r="K5" t="s">
        <v>56</v>
      </c>
      <c r="L5">
        <v>0.5</v>
      </c>
      <c r="R5" t="s">
        <v>57</v>
      </c>
    </row>
    <row r="6" spans="1:18">
      <c r="A6" s="4" t="s">
        <v>58</v>
      </c>
      <c r="B6" s="4" t="s">
        <v>18</v>
      </c>
      <c r="C6" s="4" t="s">
        <v>57</v>
      </c>
      <c r="D6" s="4" t="s">
        <v>59</v>
      </c>
      <c r="E6" s="5"/>
      <c r="R6" t="s">
        <v>60</v>
      </c>
    </row>
    <row r="7" spans="1:18">
      <c r="A7" s="4" t="s">
        <v>61</v>
      </c>
      <c r="B7" s="4" t="s">
        <v>62</v>
      </c>
      <c r="C7" s="4" t="s">
        <v>60</v>
      </c>
      <c r="D7" s="4" t="s">
        <v>63</v>
      </c>
      <c r="E7" s="5"/>
      <c r="R7" t="s">
        <v>64</v>
      </c>
    </row>
    <row r="8" spans="1:18">
      <c r="A8" s="4"/>
      <c r="B8" s="4" t="s">
        <v>65</v>
      </c>
      <c r="C8" s="4" t="s">
        <v>64</v>
      </c>
      <c r="D8" s="4" t="s">
        <v>66</v>
      </c>
      <c r="E8" s="5"/>
    </row>
    <row r="9" spans="1:18">
      <c r="A9" s="4"/>
      <c r="B9" s="4"/>
      <c r="C9" s="4"/>
      <c r="D9" s="4"/>
      <c r="E9" s="5"/>
    </row>
    <row r="10" spans="1:18">
      <c r="A10" s="4"/>
      <c r="B10" s="4"/>
      <c r="C10" s="4"/>
      <c r="D10" s="4"/>
      <c r="E10" s="5"/>
    </row>
    <row r="11" spans="1:18">
      <c r="A11" s="4"/>
      <c r="B11" s="4"/>
      <c r="C11" s="4"/>
      <c r="D11" s="4"/>
      <c r="E11" s="5"/>
    </row>
  </sheetData>
  <mergeCells count="4">
    <mergeCell ref="A1:B1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模拟输入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灵均</cp:lastModifiedBy>
  <dcterms:created xsi:type="dcterms:W3CDTF">2026-03-25T01:56:00Z</dcterms:created>
  <dcterms:modified xsi:type="dcterms:W3CDTF">2026-04-02T08:24:46Z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EE48B603F34645D2A5F052232A2D6863_11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